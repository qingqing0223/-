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windowWidth="22188" windowHeight="9060" activeTab="5"/>
  </bookViews>
  <sheets>
    <sheet name="提交说明" sheetId="1" r:id="rId1"/>
    <sheet name="表1-发布内容" sheetId="2" r:id="rId2"/>
    <sheet name="表2-评论及回复" sheetId="3" r:id="rId3"/>
    <sheet name="表3-发布互动" sheetId="4" r:id="rId4"/>
    <sheet name="表4-评论互动" sheetId="5" r:id="rId5"/>
    <sheet name="表5-帐号信息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<sst xmlns="http://schemas.openxmlformats.org/spreadsheetml/2006/main" count="145" uniqueCount="109">
  <si>
    <t>B站监测数据（采集组表1—表5）｜2026-09-20 17点正式版</t>
  </si>
  <si>
    <t>平台：哔哩哔哩｜本版基于 2026-09-20 17:09:59—17:11:48 第一轮干净重跑结果整理</t>
  </si>
  <si>
    <t>表</t>
  </si>
  <si>
    <t>正式版数量</t>
  </si>
  <si>
    <t>数据状态</t>
  </si>
  <si>
    <t>更新要求</t>
  </si>
  <si>
    <t>本轮说明</t>
  </si>
  <si>
    <t>核验结果</t>
  </si>
  <si>
    <t>表1 发布内容</t>
  </si>
  <si>
    <t>已生成</t>
  </si>
  <si>
    <t>表1、表2按15分钟更新</t>
  </si>
  <si>
    <t>原始搜索31条，经主题过滤后仅保留1条明确属于本次宣传周的内容</t>
  </si>
  <si>
    <t>通过：促进法、网络安全宣传周、九一八等误采未进入正式表1</t>
  </si>
  <si>
    <t>表2 评论及回复</t>
  </si>
  <si>
    <t>本轮为空</t>
  </si>
  <si>
    <t>唯一有效视频平台返回 video_comment=0，因此无评论记录</t>
  </si>
  <si>
    <t>合理为空；评论入口只指向有效表1内容</t>
  </si>
  <si>
    <t>表3 发布互动快照</t>
  </si>
  <si>
    <t>表3、表4、表5按1小时更新</t>
  </si>
  <si>
    <t>已保留本轮视频互动快照</t>
  </si>
  <si>
    <t>通过</t>
  </si>
  <si>
    <t>表4 评论互动快照</t>
  </si>
  <si>
    <t>表2无评论，因此表4无评论互动快照</t>
  </si>
  <si>
    <t>合理为空</t>
  </si>
  <si>
    <t>表5 帐号信息</t>
  </si>
  <si>
    <t>根据有效表1发布账号生成；平台未返回的公开字段保持为空</t>
  </si>
  <si>
    <t>正式版说明</t>
  </si>
  <si>
    <t>1. 本版仅包含采集组负责的表1—表5，不包含支持性/中性/问题性等后续分析分类。
2. 本轮 B站原始搜索共31条，经主题约束后仅保留1条：“9月21日!首个民族团结进步宣传周活动将在全国开展”。
3. 评论采集入口已限制为有效表1内容。该有效视频原始详情 video_comment=0，因此表2、表4为空；非空评论场景仍需后续出现有效评论样本后继续实测。
4. 帐号IP属地、主页、粉丝量、关注量、所属机构等本轮平台未公开返回的字段保持为空，不估算、不以0代替。
5. 当前仅取得 creator_hash 匿名标识，未取得可验证的真实B站帐号UID，因此“帐号ID”留空，匿名标识单独保存，避免误报。
6. 数据来源：E:\MediaCrawlerData\2026-09-16_promotion_week_bili\raw_runs\20260920_170959\bili_20260920_170959。</t>
  </si>
  <si>
    <t>表1 发布内容基础信息表</t>
  </si>
  <si>
    <t>正式版仅保留本次“2026年民族团结进步宣传周”明确相关内容；平台未公开返回字段留空。</t>
  </si>
  <si>
    <t>发布内容编号</t>
  </si>
  <si>
    <t>平台名称</t>
  </si>
  <si>
    <t>发布帐号ID</t>
  </si>
  <si>
    <t>发布帐号匿名标识</t>
  </si>
  <si>
    <t>帐号名称</t>
  </si>
  <si>
    <t>帐号IP属地</t>
  </si>
  <si>
    <t>帐号类型</t>
  </si>
  <si>
    <t>内容类型</t>
  </si>
  <si>
    <t>标题</t>
  </si>
  <si>
    <t>正文、文案或视频描述</t>
  </si>
  <si>
    <t>发布时间</t>
  </si>
  <si>
    <t>数据采集时间</t>
  </si>
  <si>
    <t>原始内容链接</t>
  </si>
  <si>
    <t>命中的关键词</t>
  </si>
  <si>
    <t>是否原创/转载</t>
  </si>
  <si>
    <t>是否属于有效监测数据</t>
  </si>
  <si>
    <t>无效原因</t>
  </si>
  <si>
    <t>备注</t>
  </si>
  <si>
    <t>117276162393072</t>
  </si>
  <si>
    <t>哔哩哔哩</t>
  </si>
  <si>
    <t>607421529</t>
  </si>
  <si>
    <t>8153fb6d766bbf06</t>
  </si>
  <si>
    <t>香***杰</t>
  </si>
  <si>
    <t>广东</t>
  </si>
  <si>
    <t>视频</t>
  </si>
  <si>
    <t>9月21日!首个民族团结进步宣传周活动将在全国开展</t>
  </si>
  <si>
    <t>2026-09-16 01:16:32+08:00</t>
  </si>
  <si>
    <t>2026-09-20 17:11:29+08:00</t>
  </si>
  <si>
    <t>https://www.bilibili.com/video/av117276162393072</t>
  </si>
  <si>
    <t>民族团结进步宣传周主场活动</t>
  </si>
  <si>
    <t>是</t>
  </si>
  <si>
    <t>本轮原始搜索31条，经主题过滤后唯一保留内容</t>
  </si>
  <si>
    <t>表2 评论及回复基础信息表</t>
  </si>
  <si>
    <t>本轮唯一有效表1视频原始详情 video_comment=0，未产生评论记录，因此本表正式版为空。</t>
  </si>
  <si>
    <t>对应发布内容编号</t>
  </si>
  <si>
    <t>评论编号</t>
  </si>
  <si>
    <t>父评论编号</t>
  </si>
  <si>
    <t>根评论编号</t>
  </si>
  <si>
    <t>评论层级</t>
  </si>
  <si>
    <t>评论用户ID</t>
  </si>
  <si>
    <t>评论用户IP属地</t>
  </si>
  <si>
    <t>评论正文</t>
  </si>
  <si>
    <t>评论发布时间</t>
  </si>
  <si>
    <t>是否属于有效评论</t>
  </si>
  <si>
    <t>表3 发布内容互动数据表</t>
  </si>
  <si>
    <t>保留本轮内容互动快照；B站 video_share_count 映射到“分享量”，无单独公开转发字段时“转发量”留空。</t>
  </si>
  <si>
    <t>统计时间</t>
  </si>
  <si>
    <t>阅读/播放量</t>
  </si>
  <si>
    <t>点赞量</t>
  </si>
  <si>
    <t>评论量</t>
  </si>
  <si>
    <t>转发量</t>
  </si>
  <si>
    <t>分享量</t>
  </si>
  <si>
    <t>收藏量</t>
  </si>
  <si>
    <t>弹幕量</t>
  </si>
  <si>
    <t>来自本轮 detail_contents；video_comment=0</t>
  </si>
  <si>
    <t>表4 评论内容互动数据表</t>
  </si>
  <si>
    <t>表2本轮无评论记录，因此没有可生成的评论互动快照，本表正式版为空。</t>
  </si>
  <si>
    <t>评论回复数</t>
  </si>
  <si>
    <t>评论点赞数</t>
  </si>
  <si>
    <t>表5 帐号信息表</t>
  </si>
  <si>
    <t>表5由有效表1发布账号生成。未取得可验证B站真实UID，故“帐号ID”留空；creator_hash作为匿名标识单独保存。</t>
  </si>
  <si>
    <t>帐号ID</t>
  </si>
  <si>
    <t>帐号匿名标识</t>
  </si>
  <si>
    <t>平台</t>
  </si>
  <si>
    <t>主页地址</t>
  </si>
  <si>
    <t>帐号IP属地（平台公开）</t>
  </si>
  <si>
    <t>粉丝量</t>
  </si>
  <si>
    <t>关注量</t>
  </si>
  <si>
    <t>所属地区</t>
  </si>
  <si>
    <t>所属机构</t>
  </si>
  <si>
    <t>是否属于重点监测帐号</t>
  </si>
  <si>
    <t>相关发文量</t>
  </si>
  <si>
    <t>转发/分享量</t>
  </si>
  <si>
    <t>总互动量</t>
  </si>
  <si>
    <t>https://space.bilibili.com/607421529?spm_id_from=333.788.upinfo.detail.click</t>
  </si>
  <si>
    <r>
      <t>1.8</t>
    </r>
    <r>
      <rPr>
        <sz val="11"/>
        <rFont val="宋体"/>
        <charset val="134"/>
      </rPr>
      <t>万</t>
    </r>
  </si>
  <si>
    <t>否</t>
  </si>
  <si>
    <t>2026-09-20 17:24:19+08:00</t>
  </si>
  <si>
    <r>
      <t>帐号</t>
    </r>
    <r>
      <rPr>
        <sz val="11"/>
        <rFont val="Carlito"/>
        <charset val="134"/>
      </rPr>
      <t>ID</t>
    </r>
    <r>
      <rPr>
        <sz val="11"/>
        <rFont val="宋体"/>
        <charset val="134"/>
      </rPr>
      <t>未从平台公开资料获取；主页、粉丝、关注、</t>
    </r>
    <r>
      <rPr>
        <sz val="11"/>
        <rFont val="Carlito"/>
        <charset val="134"/>
      </rPr>
      <t>IP</t>
    </r>
    <r>
      <rPr>
        <sz val="11"/>
        <rFont val="宋体"/>
        <charset val="134"/>
      </rPr>
      <t>属地等本轮未返回，保持为空；人工进行补充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</si>
</sst>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5"/>
      <color rgb="FFFFFFFF"/>
      <name val="Carlito"/>
      <charset val="134"/>
    </font>
    <font>
      <i/>
      <sz val="11"/>
      <color rgb="FF7F6000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sz val="11"/>
      <name val="宋体"/>
      <charset val="134"/>
    </font>
    <font>
      <b/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7C9D6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B7C9D6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B7C9D6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B7C9D6"/>
      </bottom>
      <diagonal/>
    </border>
    <border>
      <left style="thin">
        <color rgb="FFB7C9D6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B7C9D6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6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49" fontId="1" fillId="2" borderId="0" xfId="49" applyNumberFormat="1" applyFont="1" applyFill="1" applyBorder="1" applyAlignment="1">
      <alignment horizontal="center" vertical="center"/>
    </xf>
    <xf numFmtId="49" fontId="0" fillId="0" borderId="0" xfId="49" applyNumberFormat="1" applyFont="1" applyFill="1" applyBorder="1"/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horizontal="center" vertical="center" wrapText="1"/>
    </xf>
    <xf numFmtId="0" fontId="3" fillId="4" borderId="3" xfId="49" applyNumberFormat="1" applyFont="1" applyFill="1" applyBorder="1" applyAlignment="1">
      <alignment horizontal="center" vertical="center" wrapText="1"/>
    </xf>
    <xf numFmtId="49" fontId="0" fillId="0" borderId="4" xfId="49" applyNumberFormat="1" applyFont="1" applyFill="1" applyBorder="1" applyAlignment="1">
      <alignment vertical="center" wrapText="1"/>
    </xf>
    <xf numFmtId="0" fontId="0" fillId="0" borderId="4" xfId="49" applyNumberFormat="1" applyFont="1" applyFill="1" applyBorder="1" applyAlignment="1">
      <alignment vertical="center" wrapText="1"/>
    </xf>
    <xf numFmtId="0" fontId="4" fillId="0" borderId="0" xfId="0">
      <alignment vertical="center"/>
    </xf>
    <xf numFmtId="0" fontId="5" fillId="0" borderId="4" xfId="49" applyNumberFormat="1" applyFont="1" applyFill="1" applyBorder="1" applyAlignment="1">
      <alignment vertical="center" wrapText="1"/>
    </xf>
    <xf numFmtId="0" fontId="5" fillId="0" borderId="5" xfId="49" applyNumberFormat="1" applyFont="1" applyFill="1" applyBorder="1" applyAlignment="1">
      <alignment vertical="center" wrapText="1"/>
    </xf>
    <xf numFmtId="0" fontId="0" fillId="0" borderId="6" xfId="49" applyNumberFormat="1" applyFont="1" applyFill="1" applyBorder="1"/>
    <xf numFmtId="0" fontId="0" fillId="0" borderId="4" xfId="49" applyNumberFormat="1" applyFont="1" applyFill="1" applyBorder="1"/>
    <xf numFmtId="0" fontId="0" fillId="0" borderId="5" xfId="49" applyNumberFormat="1" applyFont="1" applyFill="1" applyBorder="1"/>
    <xf numFmtId="0" fontId="0" fillId="0" borderId="6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vertical="center" wrapText="1"/>
    </xf>
    <xf numFmtId="49" fontId="0" fillId="0" borderId="6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center" vertical="center"/>
    </xf>
    <xf numFmtId="0" fontId="6" fillId="5" borderId="0" xfId="49" applyNumberFormat="1" applyFont="1" applyFill="1" applyBorder="1" applyAlignment="1">
      <alignment horizontal="center"/>
    </xf>
    <xf numFmtId="0" fontId="0" fillId="0" borderId="7" xfId="49" applyNumberFormat="1" applyFont="1" applyFill="1" applyBorder="1" applyAlignment="1">
      <alignment vertical="center" wrapText="1"/>
    </xf>
    <xf numFmtId="0" fontId="0" fillId="0" borderId="8" xfId="49" applyNumberFormat="1" applyFont="1" applyFill="1" applyBorder="1" applyAlignment="1">
      <alignment vertical="center" wrapText="1"/>
    </xf>
    <xf numFmtId="0" fontId="0" fillId="0" borderId="9" xfId="49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pace.bilibili.com/607421529?spm_id_from=333.788.upinfo.detail.cli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3.8" outlineLevelCol="5"/>
  <cols>
    <col min="1" max="1" width="22" customWidth="1"/>
    <col min="2" max="2" width="12" customWidth="1"/>
    <col min="3" max="3" width="16" customWidth="1"/>
    <col min="4" max="4" width="22" customWidth="1"/>
    <col min="5" max="5" width="50" customWidth="1"/>
    <col min="6" max="6" width="38" customWidth="1"/>
  </cols>
  <sheetData>
    <row r="1" ht="28" customHeight="1" spans="1:6">
      <c r="A1" s="18" t="s">
        <v>0</v>
      </c>
    </row>
    <row r="2" ht="24" customHeight="1" spans="1:6">
      <c r="A2" s="19" t="s">
        <v>1</v>
      </c>
    </row>
    <row r="4" ht="32" customHeight="1" spans="1:6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</row>
    <row r="5" ht="28.8" spans="1:6">
      <c r="A5" s="20" t="s">
        <v>8</v>
      </c>
      <c r="B5" s="21">
        <f>MAX(COUNTA('表1-发布内容'!A:A)-3,0)</f>
        <v>1</v>
      </c>
      <c r="C5" s="21" t="s">
        <v>9</v>
      </c>
      <c r="D5" s="21" t="s">
        <v>10</v>
      </c>
      <c r="E5" s="21" t="s">
        <v>11</v>
      </c>
      <c r="F5" s="22" t="s">
        <v>12</v>
      </c>
    </row>
    <row r="6" ht="14.4" spans="1:6">
      <c r="A6" s="20" t="s">
        <v>13</v>
      </c>
      <c r="B6" s="21">
        <f>MAX(COUNTA('表2-评论及回复'!A:A)-3,0)</f>
        <v>0</v>
      </c>
      <c r="C6" s="21" t="s">
        <v>14</v>
      </c>
      <c r="D6" s="21" t="s">
        <v>10</v>
      </c>
      <c r="E6" s="21" t="s">
        <v>15</v>
      </c>
      <c r="F6" s="22" t="s">
        <v>16</v>
      </c>
    </row>
    <row r="7" ht="28.8" spans="1:6">
      <c r="A7" s="20" t="s">
        <v>17</v>
      </c>
      <c r="B7" s="21">
        <f>MAX(COUNTA('表3-发布互动'!A:A)-3,0)</f>
        <v>1</v>
      </c>
      <c r="C7" s="21" t="s">
        <v>9</v>
      </c>
      <c r="D7" s="21" t="s">
        <v>18</v>
      </c>
      <c r="E7" s="21" t="s">
        <v>19</v>
      </c>
      <c r="F7" s="22" t="s">
        <v>20</v>
      </c>
    </row>
    <row r="8" ht="28.8" spans="1:6">
      <c r="A8" s="20" t="s">
        <v>21</v>
      </c>
      <c r="B8" s="21">
        <f>MAX(COUNTA('表4-评论互动'!A:A)-3,0)</f>
        <v>0</v>
      </c>
      <c r="C8" s="21" t="s">
        <v>14</v>
      </c>
      <c r="D8" s="21" t="s">
        <v>18</v>
      </c>
      <c r="E8" s="21" t="s">
        <v>22</v>
      </c>
      <c r="F8" s="22" t="s">
        <v>23</v>
      </c>
    </row>
    <row r="9" ht="28.8" spans="1:6">
      <c r="A9" s="15" t="s">
        <v>24</v>
      </c>
      <c r="B9" s="8">
        <f>MAX(COUNTA('表5-帐号信息'!B:B)-1,0)</f>
        <v>1</v>
      </c>
      <c r="C9" s="8" t="s">
        <v>9</v>
      </c>
      <c r="D9" s="8" t="s">
        <v>18</v>
      </c>
      <c r="E9" s="8" t="s">
        <v>25</v>
      </c>
      <c r="F9" s="16" t="s">
        <v>20</v>
      </c>
    </row>
    <row r="11" spans="1:6">
      <c r="A11" s="23" t="s">
        <v>26</v>
      </c>
    </row>
    <row r="12" ht="110" customHeight="1" spans="1:6">
      <c r="A12" s="24" t="s">
        <v>27</v>
      </c>
    </row>
  </sheetData>
  <mergeCells count="4">
    <mergeCell ref="A1:F1"/>
    <mergeCell ref="A2:F2"/>
    <mergeCell ref="A11:F11"/>
    <mergeCell ref="A12:F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opLeftCell="K1" workbookViewId="0">
      <selection activeCell="C4" sqref="C4"/>
    </sheetView>
  </sheetViews>
  <sheetFormatPr defaultColWidth="9" defaultRowHeight="13.8" outlineLevelRow="3"/>
  <cols>
    <col min="1" max="1" width="20" customWidth="1"/>
    <col min="2" max="2" width="12" customWidth="1"/>
    <col min="3" max="3" width="16" customWidth="1"/>
    <col min="4" max="4" width="20" customWidth="1"/>
    <col min="5" max="7" width="14" customWidth="1"/>
    <col min="8" max="8" width="10" customWidth="1"/>
    <col min="9" max="10" width="38" customWidth="1"/>
    <col min="11" max="12" width="23" customWidth="1"/>
    <col min="13" max="13" width="44" customWidth="1"/>
    <col min="14" max="14" width="30" customWidth="1"/>
    <col min="15" max="15" width="14" customWidth="1"/>
    <col min="16" max="17" width="18" customWidth="1"/>
    <col min="18" max="18" width="38" customWidth="1"/>
  </cols>
  <sheetData>
    <row r="1" ht="28" customHeight="1" spans="1:18">
      <c r="A1" s="1" t="s">
        <v>28</v>
      </c>
      <c r="C1" s="2"/>
      <c r="D1" s="2"/>
    </row>
    <row r="2" ht="34" customHeight="1" spans="1:18">
      <c r="A2" s="3" t="s">
        <v>29</v>
      </c>
    </row>
    <row r="3" ht="32" customHeight="1" spans="1:18">
      <c r="A3" s="4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6" t="s">
        <v>47</v>
      </c>
    </row>
    <row r="4" ht="28.8" spans="1:18">
      <c r="A4" s="17" t="s">
        <v>48</v>
      </c>
      <c r="B4" s="7" t="s">
        <v>49</v>
      </c>
      <c r="C4" s="7" t="s">
        <v>50</v>
      </c>
      <c r="D4" s="7" t="s">
        <v>51</v>
      </c>
      <c r="E4" s="8" t="s">
        <v>52</v>
      </c>
      <c r="F4" s="10" t="s">
        <v>53</v>
      </c>
      <c r="G4" s="8"/>
      <c r="H4" s="8" t="s">
        <v>54</v>
      </c>
      <c r="I4" s="8" t="s">
        <v>55</v>
      </c>
      <c r="J4" s="8" t="s">
        <v>55</v>
      </c>
      <c r="K4" s="8" t="s">
        <v>56</v>
      </c>
      <c r="L4" s="8" t="s">
        <v>57</v>
      </c>
      <c r="M4" s="8" t="s">
        <v>58</v>
      </c>
      <c r="N4" s="8" t="s">
        <v>59</v>
      </c>
      <c r="O4" s="8"/>
      <c r="P4" s="8" t="s">
        <v>60</v>
      </c>
      <c r="Q4" s="8"/>
      <c r="R4" s="16" t="s">
        <v>61</v>
      </c>
    </row>
  </sheetData>
  <mergeCells count="2">
    <mergeCell ref="A1:R1"/>
    <mergeCell ref="A2:R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:M1"/>
    </sheetView>
  </sheetViews>
  <sheetFormatPr defaultColWidth="9" defaultRowHeight="13.8" outlineLevelRow="3"/>
  <cols>
    <col min="1" max="4" width="20" customWidth="1"/>
    <col min="5" max="5" width="10" customWidth="1"/>
    <col min="6" max="6" width="12" customWidth="1"/>
    <col min="7" max="7" width="20" customWidth="1"/>
    <col min="8" max="8" width="16" customWidth="1"/>
    <col min="9" max="9" width="42" customWidth="1"/>
    <col min="10" max="11" width="23" customWidth="1"/>
    <col min="12" max="12" width="18" customWidth="1"/>
    <col min="13" max="13" width="36" customWidth="1"/>
  </cols>
  <sheetData>
    <row r="1" ht="28" customHeight="1" spans="1:13">
      <c r="A1" s="1" t="s">
        <v>62</v>
      </c>
      <c r="B1" s="2"/>
      <c r="C1" s="2"/>
      <c r="D1" s="2"/>
      <c r="G1" s="2"/>
    </row>
    <row r="2" ht="34" customHeight="1" spans="1:13">
      <c r="A2" s="3" t="s">
        <v>63</v>
      </c>
    </row>
    <row r="3" ht="32" customHeight="1" spans="1:13">
      <c r="A3" s="4" t="s">
        <v>64</v>
      </c>
      <c r="B3" s="5" t="s">
        <v>65</v>
      </c>
      <c r="C3" s="5" t="s">
        <v>66</v>
      </c>
      <c r="D3" s="5" t="s">
        <v>67</v>
      </c>
      <c r="E3" s="5" t="s">
        <v>68</v>
      </c>
      <c r="F3" s="5" t="s">
        <v>31</v>
      </c>
      <c r="G3" s="5" t="s">
        <v>69</v>
      </c>
      <c r="H3" s="5" t="s">
        <v>70</v>
      </c>
      <c r="I3" s="5" t="s">
        <v>71</v>
      </c>
      <c r="J3" s="5" t="s">
        <v>72</v>
      </c>
      <c r="K3" s="5" t="s">
        <v>41</v>
      </c>
      <c r="L3" s="5" t="s">
        <v>73</v>
      </c>
      <c r="M3" s="6" t="s">
        <v>47</v>
      </c>
    </row>
    <row r="4" spans="1:13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</sheetData>
  <mergeCells count="2">
    <mergeCell ref="A1:M1"/>
    <mergeCell ref="A2:M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:K1"/>
    </sheetView>
  </sheetViews>
  <sheetFormatPr defaultColWidth="9" defaultRowHeight="13.8" outlineLevelRow="3"/>
  <cols>
    <col min="1" max="1" width="20" customWidth="1"/>
    <col min="2" max="2" width="12" customWidth="1"/>
    <col min="3" max="3" width="23" customWidth="1"/>
    <col min="4" max="4" width="14" customWidth="1"/>
    <col min="5" max="10" width="12" customWidth="1"/>
    <col min="11" max="11" width="34" customWidth="1"/>
  </cols>
  <sheetData>
    <row r="1" ht="28" customHeight="1" spans="1:11">
      <c r="A1" s="1" t="s">
        <v>74</v>
      </c>
    </row>
    <row r="2" ht="34" customHeight="1" spans="1:11">
      <c r="A2" s="3" t="s">
        <v>75</v>
      </c>
    </row>
    <row r="3" ht="32" customHeight="1" spans="1:11">
      <c r="A3" s="4" t="s">
        <v>64</v>
      </c>
      <c r="B3" s="5" t="s">
        <v>31</v>
      </c>
      <c r="C3" s="5" t="s">
        <v>76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81</v>
      </c>
      <c r="I3" s="5" t="s">
        <v>82</v>
      </c>
      <c r="J3" s="5" t="s">
        <v>83</v>
      </c>
      <c r="K3" s="6" t="s">
        <v>47</v>
      </c>
    </row>
    <row r="4" ht="28.2" spans="1:11">
      <c r="A4" s="15" t="s">
        <v>48</v>
      </c>
      <c r="B4" s="8" t="s">
        <v>49</v>
      </c>
      <c r="C4" s="8" t="s">
        <v>57</v>
      </c>
      <c r="D4" s="8">
        <v>250</v>
      </c>
      <c r="E4" s="8">
        <v>23</v>
      </c>
      <c r="F4" s="8">
        <v>0</v>
      </c>
      <c r="G4" s="8"/>
      <c r="H4" s="8">
        <v>2</v>
      </c>
      <c r="I4" s="8">
        <v>0</v>
      </c>
      <c r="J4" s="8">
        <v>0</v>
      </c>
      <c r="K4" s="16" t="s">
        <v>84</v>
      </c>
    </row>
  </sheetData>
  <mergeCells count="2">
    <mergeCell ref="A1:K1"/>
    <mergeCell ref="A2:K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:G1"/>
    </sheetView>
  </sheetViews>
  <sheetFormatPr defaultColWidth="9" defaultRowHeight="13.8" outlineLevelRow="3" outlineLevelCol="6"/>
  <cols>
    <col min="1" max="2" width="20" customWidth="1"/>
    <col min="3" max="3" width="12" customWidth="1"/>
    <col min="4" max="4" width="23" customWidth="1"/>
    <col min="5" max="6" width="14" customWidth="1"/>
    <col min="7" max="7" width="36" customWidth="1"/>
  </cols>
  <sheetData>
    <row r="1" ht="28" customHeight="1" spans="1:7">
      <c r="A1" s="1" t="s">
        <v>85</v>
      </c>
      <c r="B1" s="2"/>
    </row>
    <row r="2" ht="34" customHeight="1" spans="1:7">
      <c r="A2" s="3" t="s">
        <v>86</v>
      </c>
    </row>
    <row r="3" ht="32" customHeight="1" spans="1:7">
      <c r="A3" s="4" t="s">
        <v>64</v>
      </c>
      <c r="B3" s="5" t="s">
        <v>65</v>
      </c>
      <c r="C3" s="5" t="s">
        <v>31</v>
      </c>
      <c r="D3" s="5" t="s">
        <v>76</v>
      </c>
      <c r="E3" s="5" t="s">
        <v>87</v>
      </c>
      <c r="F3" s="5" t="s">
        <v>88</v>
      </c>
      <c r="G3" s="6" t="s">
        <v>47</v>
      </c>
    </row>
    <row r="4" spans="1:7">
      <c r="A4" s="12"/>
      <c r="B4" s="13"/>
      <c r="C4" s="13"/>
      <c r="D4" s="13"/>
      <c r="E4" s="13"/>
      <c r="F4" s="13"/>
      <c r="G4" s="14"/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topLeftCell="L1" workbookViewId="0">
      <selection activeCell="T14" sqref="T14"/>
    </sheetView>
  </sheetViews>
  <sheetFormatPr defaultColWidth="9" defaultRowHeight="13.8" outlineLevelRow="3"/>
  <cols>
    <col min="1" max="1" width="16" customWidth="1"/>
    <col min="2" max="2" width="20" customWidth="1"/>
    <col min="3" max="3" width="12" customWidth="1"/>
    <col min="4" max="4" width="14" customWidth="1"/>
    <col min="5" max="5" width="28" customWidth="1"/>
    <col min="6" max="6" width="14" customWidth="1"/>
    <col min="7" max="7" width="18" customWidth="1"/>
    <col min="8" max="9" width="12" customWidth="1"/>
    <col min="10" max="10" width="14" customWidth="1"/>
    <col min="11" max="12" width="18" customWidth="1"/>
    <col min="13" max="13" width="12" customWidth="1"/>
    <col min="14" max="14" width="14" customWidth="1"/>
    <col min="15" max="16" width="12" customWidth="1"/>
    <col min="17" max="17" width="16" customWidth="1"/>
    <col min="18" max="18" width="12" customWidth="1"/>
    <col min="19" max="19" width="14" customWidth="1"/>
    <col min="20" max="20" width="23" customWidth="1"/>
    <col min="21" max="21" width="42" customWidth="1"/>
  </cols>
  <sheetData>
    <row r="1" ht="28" customHeight="1" spans="1:21">
      <c r="A1" s="1" t="s">
        <v>89</v>
      </c>
      <c r="B1" s="2"/>
    </row>
    <row r="2" ht="34" customHeight="1" spans="1:21">
      <c r="A2" s="3" t="s">
        <v>90</v>
      </c>
    </row>
    <row r="3" ht="32" customHeight="1" spans="1:21">
      <c r="A3" s="4" t="s">
        <v>91</v>
      </c>
      <c r="B3" s="5" t="s">
        <v>92</v>
      </c>
      <c r="C3" s="5" t="s">
        <v>93</v>
      </c>
      <c r="D3" s="5" t="s">
        <v>34</v>
      </c>
      <c r="E3" s="5" t="s">
        <v>94</v>
      </c>
      <c r="F3" s="5" t="s">
        <v>36</v>
      </c>
      <c r="G3" s="5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 t="s">
        <v>100</v>
      </c>
      <c r="M3" s="5" t="s">
        <v>101</v>
      </c>
      <c r="N3" s="5" t="s">
        <v>77</v>
      </c>
      <c r="O3" s="5" t="s">
        <v>78</v>
      </c>
      <c r="P3" s="5" t="s">
        <v>79</v>
      </c>
      <c r="Q3" s="5" t="s">
        <v>102</v>
      </c>
      <c r="R3" s="5" t="s">
        <v>82</v>
      </c>
      <c r="S3" s="5" t="s">
        <v>103</v>
      </c>
      <c r="T3" s="5" t="s">
        <v>41</v>
      </c>
      <c r="U3" s="6" t="s">
        <v>47</v>
      </c>
    </row>
    <row r="4" ht="28.8" spans="1:21">
      <c r="A4" s="7" t="s">
        <v>50</v>
      </c>
      <c r="B4" s="8" t="s">
        <v>51</v>
      </c>
      <c r="C4" s="8" t="s">
        <v>49</v>
      </c>
      <c r="D4" s="8" t="s">
        <v>52</v>
      </c>
      <c r="E4" s="9" t="s">
        <v>104</v>
      </c>
      <c r="F4" s="8"/>
      <c r="G4" s="10" t="s">
        <v>53</v>
      </c>
      <c r="H4" s="8" t="s">
        <v>105</v>
      </c>
      <c r="I4" s="8">
        <v>34</v>
      </c>
      <c r="J4" s="10" t="s">
        <v>53</v>
      </c>
      <c r="K4" s="8"/>
      <c r="L4" s="8" t="s">
        <v>106</v>
      </c>
      <c r="M4" s="8">
        <v>1</v>
      </c>
      <c r="N4" s="8">
        <v>250</v>
      </c>
      <c r="O4" s="8">
        <v>23</v>
      </c>
      <c r="P4" s="8">
        <v>0</v>
      </c>
      <c r="Q4" s="8">
        <v>2</v>
      </c>
      <c r="R4" s="8">
        <v>0</v>
      </c>
      <c r="S4" s="8">
        <f>SUM(O4:R4)</f>
        <v>25</v>
      </c>
      <c r="T4" s="8" t="s">
        <v>107</v>
      </c>
      <c r="U4" s="11" t="s">
        <v>108</v>
      </c>
    </row>
  </sheetData>
  <mergeCells count="2">
    <mergeCell ref="A1:U1"/>
    <mergeCell ref="A2:U2"/>
  </mergeCells>
  <hyperlinks>
    <hyperlink ref="E4" r:id="rId1" display="https://space.bilibili.com/607421529?spm_id_from=333.788.upinfo.detail.click" tooltip="https://space.bilibili.com/607421529?spm_id_from=333.788.upinfo.detail.click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提交说明</vt:lpstr>
      <vt:lpstr>表1-发布内容</vt:lpstr>
      <vt:lpstr>表2-评论及回复</vt:lpstr>
      <vt:lpstr>表3-发布互动</vt:lpstr>
      <vt:lpstr>表4-评论互动</vt:lpstr>
      <vt:lpstr>表5-帐号信息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李梦颖</cp:lastModifiedBy>
  <dcterms:created xsi:type="dcterms:W3CDTF">2026-09-20T09:29:25Z</dcterms:created>
  <dcterms:modified xsi:type="dcterms:W3CDTF">2026-09-20T09:36:51Z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3003E40146474CD3973CD1FA5901130D_12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